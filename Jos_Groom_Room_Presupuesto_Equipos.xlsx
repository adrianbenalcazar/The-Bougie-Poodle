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17346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 wrapText="1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164" fontId="5" fillId="11" borderId="1" applyAlignment="1" pivotButton="0" quotePrefix="0" xfId="0">
      <alignment horizontal="right" vertical="center" wrapText="1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164" fontId="7" fillId="14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 ht="40" customHeight="1">
      <c r="A1" s="1" t="inlineStr">
        <is>
          <t>JO'S GROOM ROOM LLC — PRESUPUESTO DE EQUIPOS E INVERSIÓN INICIAL</t>
        </is>
      </c>
    </row>
    <row r="2" ht="20" customHeight="1">
      <c r="A2" s="2" t="inlineStr">
        <is>
          <t>Peekskill, Westchester, New York • 2026</t>
        </is>
      </c>
    </row>
    <row r="3" ht="15" customHeight="1"/>
    <row r="4" ht="25" customHeight="1">
      <c r="A4" s="3" t="inlineStr">
        <is>
          <t>🟢 MÍNIMO PARA ABRIR   |   🟡 IMPORTANTE AGREGAR PRONTO   |   🔴 PUEDE ESPERAR</t>
        </is>
      </c>
    </row>
    <row r="5" ht="30" customHeight="1">
      <c r="A5" s="4" t="inlineStr">
        <is>
          <t>#</t>
        </is>
      </c>
      <c r="B5" s="4" t="inlineStr">
        <is>
          <t>EQUIPO / ARTÍCULO</t>
        </is>
      </c>
      <c r="C5" s="4" t="inlineStr">
        <is>
          <t>DESCRIPCIÓN / NOTAS</t>
        </is>
      </c>
      <c r="D5" s="4" t="inlineStr">
        <is>
          <t>CANT.</t>
        </is>
      </c>
      <c r="E5" s="4" t="inlineStr">
        <is>
          <t>PRECIO UNIT.</t>
        </is>
      </c>
      <c r="F5" s="4" t="inlineStr">
        <is>
          <t>TOTAL</t>
        </is>
      </c>
      <c r="G5" s="4" t="inlineStr">
        <is>
          <t>PRIORIDAD</t>
        </is>
      </c>
    </row>
    <row r="6" ht="25" customHeight="1">
      <c r="A6" s="5" t="inlineStr">
        <is>
          <t>🛁 EQUIPOS DE GROOMING — ESENCIAL</t>
        </is>
      </c>
    </row>
    <row r="7" ht="22" customHeight="1">
      <c r="A7" s="6" t="n">
        <v>1</v>
      </c>
      <c r="B7" s="7" t="inlineStr">
        <is>
          <t>Tina de baño profesional</t>
        </is>
      </c>
      <c r="C7" s="7" t="inlineStr">
        <is>
          <t>Acero inoxidable, altura ajustable, con rampa</t>
        </is>
      </c>
      <c r="D7" s="6" t="n">
        <v>1</v>
      </c>
      <c r="E7" s="8" t="n">
        <v>800</v>
      </c>
      <c r="F7" s="8">
        <f>D7*E7</f>
        <v/>
      </c>
      <c r="G7" s="6" t="inlineStr">
        <is>
          <t>🟢 MÍNIMO</t>
        </is>
      </c>
    </row>
    <row r="8" ht="22" customHeight="1">
      <c r="A8" s="6" t="n">
        <v>2</v>
      </c>
      <c r="B8" s="7" t="inlineStr">
        <is>
          <t>Mesa de grooming hidráulica</t>
        </is>
      </c>
      <c r="C8" s="7" t="inlineStr">
        <is>
          <t>Mesa eléctrica o hidráulica, altura ajustable</t>
        </is>
      </c>
      <c r="D8" s="6" t="n">
        <v>1</v>
      </c>
      <c r="E8" s="8" t="n">
        <v>600</v>
      </c>
      <c r="F8" s="8">
        <f>D8*E8</f>
        <v/>
      </c>
      <c r="G8" s="6" t="inlineStr">
        <is>
          <t>🟢 MÍNIMO</t>
        </is>
      </c>
    </row>
    <row r="9" ht="22" customHeight="1">
      <c r="A9" s="6" t="n">
        <v>3</v>
      </c>
      <c r="B9" s="7" t="inlineStr">
        <is>
          <t>Secadora de pie profesional</t>
        </is>
      </c>
      <c r="C9" s="7" t="inlineStr">
        <is>
          <t>Alta velocidad, para pelaje largo y corto</t>
        </is>
      </c>
      <c r="D9" s="6" t="n">
        <v>1</v>
      </c>
      <c r="E9" s="8" t="n">
        <v>400</v>
      </c>
      <c r="F9" s="8">
        <f>D9*E9</f>
        <v/>
      </c>
      <c r="G9" s="6" t="inlineStr">
        <is>
          <t>🟢 MÍNIMO</t>
        </is>
      </c>
    </row>
    <row r="10" ht="22" customHeight="1">
      <c r="A10" s="6" t="n">
        <v>4</v>
      </c>
      <c r="B10" s="7" t="inlineStr">
        <is>
          <t>Secadora de mano/velocidad</t>
        </is>
      </c>
      <c r="C10" s="7" t="inlineStr">
        <is>
          <t>Para acabado final y detallado</t>
        </is>
      </c>
      <c r="D10" s="6" t="n">
        <v>1</v>
      </c>
      <c r="E10" s="8" t="n">
        <v>150</v>
      </c>
      <c r="F10" s="8">
        <f>D10*E10</f>
        <v/>
      </c>
      <c r="G10" s="6" t="inlineStr">
        <is>
          <t>🟢 MÍNIMO</t>
        </is>
      </c>
    </row>
    <row r="11" ht="22" customHeight="1">
      <c r="A11" s="6" t="n">
        <v>5</v>
      </c>
      <c r="B11" s="7" t="inlineStr">
        <is>
          <t>Máquina cortadora profesional (clipper)</t>
        </is>
      </c>
      <c r="C11" s="7" t="inlineStr">
        <is>
          <t>Andis o Wahl, con juego de cuchillas</t>
        </is>
      </c>
      <c r="D11" s="6" t="n">
        <v>2</v>
      </c>
      <c r="E11" s="8" t="n">
        <v>200</v>
      </c>
      <c r="F11" s="8">
        <f>D11*E11</f>
        <v/>
      </c>
      <c r="G11" s="6" t="inlineStr">
        <is>
          <t>🟢 MÍNIMO</t>
        </is>
      </c>
    </row>
    <row r="12" ht="22" customHeight="1">
      <c r="A12" s="6" t="n">
        <v>6</v>
      </c>
      <c r="B12" s="7" t="inlineStr">
        <is>
          <t>Tijeras profesionales set</t>
        </is>
      </c>
      <c r="C12" s="7" t="inlineStr">
        <is>
          <t>Rectas, curvas y de entresacar</t>
        </is>
      </c>
      <c r="D12" s="6" t="n">
        <v>1</v>
      </c>
      <c r="E12" s="8" t="n">
        <v>250</v>
      </c>
      <c r="F12" s="8">
        <f>D12*E12</f>
        <v/>
      </c>
      <c r="G12" s="6" t="inlineStr">
        <is>
          <t>🟢 MÍNIMO</t>
        </is>
      </c>
    </row>
    <row r="13" ht="22" customHeight="1">
      <c r="A13" s="6" t="n">
        <v>7</v>
      </c>
      <c r="B13" s="7" t="inlineStr">
        <is>
          <t>Kennels/jaulas de descanso</t>
        </is>
      </c>
      <c r="C13" s="7" t="inlineStr">
        <is>
          <t>Metálicas, diferentes tamaños (S, M, L)</t>
        </is>
      </c>
      <c r="D13" s="6" t="n">
        <v>4</v>
      </c>
      <c r="E13" s="8" t="n">
        <v>150</v>
      </c>
      <c r="F13" s="8">
        <f>D13*E13</f>
        <v/>
      </c>
      <c r="G13" s="6" t="inlineStr">
        <is>
          <t>🟢 MÍNIMO</t>
        </is>
      </c>
    </row>
    <row r="14" ht="22" customHeight="1">
      <c r="A14" s="6" t="n">
        <v>8</v>
      </c>
      <c r="B14" s="7" t="inlineStr">
        <is>
          <t>Ducha con manguera flexible</t>
        </is>
      </c>
      <c r="C14" s="7" t="inlineStr">
        <is>
          <t>Instalación en tina, con cabezal ajustable</t>
        </is>
      </c>
      <c r="D14" s="6" t="n">
        <v>1</v>
      </c>
      <c r="E14" s="8" t="n">
        <v>120</v>
      </c>
      <c r="F14" s="8">
        <f>D14*E14</f>
        <v/>
      </c>
      <c r="G14" s="6" t="inlineStr">
        <is>
          <t>🟢 MÍNIMO</t>
        </is>
      </c>
    </row>
    <row r="15" ht="22" customHeight="1">
      <c r="A15" s="6" t="n">
        <v>9</v>
      </c>
      <c r="B15" s="7" t="inlineStr">
        <is>
          <t>Cortauñas profesional</t>
        </is>
      </c>
      <c r="C15" s="7" t="inlineStr">
        <is>
          <t>De calidad, para distintos tamaños de perro</t>
        </is>
      </c>
      <c r="D15" s="6" t="n">
        <v>2</v>
      </c>
      <c r="E15" s="8" t="n">
        <v>25</v>
      </c>
      <c r="F15" s="8">
        <f>D15*E15</f>
        <v/>
      </c>
      <c r="G15" s="6" t="inlineStr">
        <is>
          <t>🟢 MÍNIMO</t>
        </is>
      </c>
    </row>
    <row r="16" ht="22" customHeight="1">
      <c r="A16" s="6" t="n">
        <v>10</v>
      </c>
      <c r="B16" s="7" t="inlineStr">
        <is>
          <t>Cepillos y rastrillos set</t>
        </is>
      </c>
      <c r="C16" s="7" t="inlineStr">
        <is>
          <t>Slicker, deslanador, peine metálico</t>
        </is>
      </c>
      <c r="D16" s="6" t="n">
        <v>1</v>
      </c>
      <c r="E16" s="8" t="n">
        <v>80</v>
      </c>
      <c r="F16" s="8">
        <f>D16*E16</f>
        <v/>
      </c>
      <c r="G16" s="6" t="inlineStr">
        <is>
          <t>🟢 MÍNIMO</t>
        </is>
      </c>
    </row>
    <row r="17" ht="22" customHeight="1">
      <c r="A17" s="6" t="n">
        <v>11</v>
      </c>
      <c r="B17" s="7" t="inlineStr">
        <is>
          <t>Bozales set</t>
        </is>
      </c>
      <c r="C17" s="7" t="inlineStr">
        <is>
          <t>Varios tamaños por seguridad</t>
        </is>
      </c>
      <c r="D17" s="6" t="n">
        <v>1</v>
      </c>
      <c r="E17" s="8" t="n">
        <v>40</v>
      </c>
      <c r="F17" s="8">
        <f>D17*E17</f>
        <v/>
      </c>
      <c r="G17" s="6" t="inlineStr">
        <is>
          <t>🟢 MÍNIMO</t>
        </is>
      </c>
    </row>
    <row r="18" ht="22" customHeight="1">
      <c r="A18" s="6" t="n">
        <v>12</v>
      </c>
      <c r="B18" s="7" t="inlineStr">
        <is>
          <t>Collar y correa de sujeción</t>
        </is>
      </c>
      <c r="C18" s="7" t="inlineStr">
        <is>
          <t>Para asegurar perros en mesa y tina</t>
        </is>
      </c>
      <c r="D18" s="6" t="n">
        <v>4</v>
      </c>
      <c r="E18" s="8" t="n">
        <v>20</v>
      </c>
      <c r="F18" s="8">
        <f>D18*E18</f>
        <v/>
      </c>
      <c r="G18" s="6" t="inlineStr">
        <is>
          <t>🟢 MÍNIMO</t>
        </is>
      </c>
    </row>
    <row r="19" ht="25" customHeight="1">
      <c r="A19" s="9" t="inlineStr">
        <is>
          <t>🧴 PRODUCTOS Y SUMINISTROS INICIALES</t>
        </is>
      </c>
    </row>
    <row r="20" ht="22" customHeight="1">
      <c r="A20" s="6" t="n">
        <v>13</v>
      </c>
      <c r="B20" s="7" t="inlineStr">
        <is>
          <t>Shampoo profesional galón</t>
        </is>
      </c>
      <c r="C20" s="7" t="inlineStr">
        <is>
          <t>Varios: normal, medicado, para cachorros</t>
        </is>
      </c>
      <c r="D20" s="6" t="n">
        <v>5</v>
      </c>
      <c r="E20" s="8" t="n">
        <v>35</v>
      </c>
      <c r="F20" s="8">
        <f>D20*E20</f>
        <v/>
      </c>
      <c r="G20" s="6" t="inlineStr">
        <is>
          <t>🟢 MÍNIMO</t>
        </is>
      </c>
    </row>
    <row r="21" ht="22" customHeight="1">
      <c r="A21" s="6" t="n">
        <v>14</v>
      </c>
      <c r="B21" s="7" t="inlineStr">
        <is>
          <t>Acondicionador profesional galón</t>
        </is>
      </c>
      <c r="C21" s="7" t="inlineStr">
        <is>
          <t>Para deslanado y brillo</t>
        </is>
      </c>
      <c r="D21" s="6" t="n">
        <v>3</v>
      </c>
      <c r="E21" s="8" t="n">
        <v>30</v>
      </c>
      <c r="F21" s="8">
        <f>D21*E21</f>
        <v/>
      </c>
      <c r="G21" s="6" t="inlineStr">
        <is>
          <t>🟢 MÍNIMO</t>
        </is>
      </c>
    </row>
    <row r="22" ht="22" customHeight="1">
      <c r="A22" s="6" t="n">
        <v>15</v>
      </c>
      <c r="B22" s="7" t="inlineStr">
        <is>
          <t>Spray desodorante/perfume</t>
        </is>
      </c>
      <c r="C22" s="7" t="inlineStr">
        <is>
          <t>Acabado post-grooming</t>
        </is>
      </c>
      <c r="D22" s="6" t="n">
        <v>3</v>
      </c>
      <c r="E22" s="8" t="n">
        <v>20</v>
      </c>
      <c r="F22" s="8">
        <f>D22*E22</f>
        <v/>
      </c>
      <c r="G22" s="6" t="inlineStr">
        <is>
          <t>🟢 MÍNIMO</t>
        </is>
      </c>
    </row>
    <row r="23" ht="22" customHeight="1">
      <c r="A23" s="6" t="n">
        <v>16</v>
      </c>
      <c r="B23" s="7" t="inlineStr">
        <is>
          <t>Toallas de microfibra</t>
        </is>
      </c>
      <c r="C23" s="7" t="inlineStr">
        <is>
          <t>Absorción rápida, lavables</t>
        </is>
      </c>
      <c r="D23" s="6" t="n">
        <v>20</v>
      </c>
      <c r="E23" s="8" t="n">
        <v>8</v>
      </c>
      <c r="F23" s="8">
        <f>D23*E23</f>
        <v/>
      </c>
      <c r="G23" s="6" t="inlineStr">
        <is>
          <t>🟢 MÍNIMO</t>
        </is>
      </c>
    </row>
    <row r="24" ht="22" customHeight="1">
      <c r="A24" s="6" t="n">
        <v>17</v>
      </c>
      <c r="B24" s="7" t="inlineStr">
        <is>
          <t>Guantes de látex/nitrilo caja</t>
        </is>
      </c>
      <c r="C24" s="7" t="inlineStr">
        <is>
          <t>Protección e higiene</t>
        </is>
      </c>
      <c r="D24" s="6" t="n">
        <v>2</v>
      </c>
      <c r="E24" s="8" t="n">
        <v>15</v>
      </c>
      <c r="F24" s="8">
        <f>D24*E24</f>
        <v/>
      </c>
      <c r="G24" s="6" t="inlineStr">
        <is>
          <t>🟢 MÍNIMO</t>
        </is>
      </c>
    </row>
    <row r="25" ht="22" customHeight="1">
      <c r="A25" s="6" t="n">
        <v>18</v>
      </c>
      <c r="B25" s="7" t="inlineStr">
        <is>
          <t>Aceite lubricante para cuchillas</t>
        </is>
      </c>
      <c r="C25" s="7" t="inlineStr">
        <is>
          <t>Mantenimiento de clippers</t>
        </is>
      </c>
      <c r="D25" s="6" t="n">
        <v>2</v>
      </c>
      <c r="E25" s="8" t="n">
        <v>12</v>
      </c>
      <c r="F25" s="8">
        <f>D25*E25</f>
        <v/>
      </c>
      <c r="G25" s="6" t="inlineStr">
        <is>
          <t>🟢 MÍNIMO</t>
        </is>
      </c>
    </row>
    <row r="26" ht="22" customHeight="1">
      <c r="A26" s="6" t="n">
        <v>19</v>
      </c>
      <c r="B26" s="7" t="inlineStr">
        <is>
          <t>Desinfectante para equipos</t>
        </is>
      </c>
      <c r="C26" s="7" t="inlineStr">
        <is>
          <t>Spray antibacterial para mesa y tina</t>
        </is>
      </c>
      <c r="D26" s="6" t="n">
        <v>2</v>
      </c>
      <c r="E26" s="8" t="n">
        <v>18</v>
      </c>
      <c r="F26" s="8">
        <f>D26*E26</f>
        <v/>
      </c>
      <c r="G26" s="6" t="inlineStr">
        <is>
          <t>🟢 MÍNIMO</t>
        </is>
      </c>
    </row>
    <row r="27" ht="22" customHeight="1">
      <c r="A27" s="10" t="n">
        <v>20</v>
      </c>
      <c r="B27" s="11" t="inlineStr">
        <is>
          <t>Bandanas para perros (merch)</t>
        </is>
      </c>
      <c r="C27" s="11" t="inlineStr">
        <is>
          <t>Con logo Jo's Groom Room, varios tamaños</t>
        </is>
      </c>
      <c r="D27" s="10" t="n">
        <v>50</v>
      </c>
      <c r="E27" s="12" t="n">
        <v>4</v>
      </c>
      <c r="F27" s="12">
        <f>D27*E27</f>
        <v/>
      </c>
      <c r="G27" s="10" t="inlineStr">
        <is>
          <t>🟡 PRONTO</t>
        </is>
      </c>
    </row>
    <row r="28" ht="25" customHeight="1">
      <c r="A28" s="13" t="inlineStr">
        <is>
          <t>💳 SISTEMA DE COBRO Y PUNTO DE VENTA</t>
        </is>
      </c>
    </row>
    <row r="29" ht="22" customHeight="1">
      <c r="A29" s="6" t="n">
        <v>21</v>
      </c>
      <c r="B29" s="7" t="inlineStr">
        <is>
          <t>Square Terminal o Reader</t>
        </is>
      </c>
      <c r="C29" s="7" t="inlineStr">
        <is>
          <t>Para cobrar con tarjeta de crédito/débito</t>
        </is>
      </c>
      <c r="D29" s="6" t="n">
        <v>1</v>
      </c>
      <c r="E29" s="8" t="n">
        <v>299</v>
      </c>
      <c r="F29" s="8">
        <f>D29*E29</f>
        <v/>
      </c>
      <c r="G29" s="6" t="inlineStr">
        <is>
          <t>🟢 MÍNIMO</t>
        </is>
      </c>
    </row>
    <row r="30" ht="22" customHeight="1">
      <c r="A30" s="6" t="n">
        <v>22</v>
      </c>
      <c r="B30" s="7" t="inlineStr">
        <is>
          <t>iPad (para POS y agenda)</t>
        </is>
      </c>
      <c r="C30" s="7" t="inlineStr">
        <is>
          <t>Para software Moego y gestión de citas</t>
        </is>
      </c>
      <c r="D30" s="6" t="n">
        <v>1</v>
      </c>
      <c r="E30" s="8" t="n">
        <v>329</v>
      </c>
      <c r="F30" s="8">
        <f>D30*E30</f>
        <v/>
      </c>
      <c r="G30" s="6" t="inlineStr">
        <is>
          <t>🟢 MÍNIMO</t>
        </is>
      </c>
    </row>
    <row r="31" ht="22" customHeight="1">
      <c r="A31" s="6" t="n">
        <v>23</v>
      </c>
      <c r="B31" s="7" t="inlineStr">
        <is>
          <t>iPad Stand/soporte</t>
        </is>
      </c>
      <c r="C31" s="7" t="inlineStr">
        <is>
          <t>Soporte de mostrador para iPad</t>
        </is>
      </c>
      <c r="D31" s="6" t="n">
        <v>1</v>
      </c>
      <c r="E31" s="8" t="n">
        <v>45</v>
      </c>
      <c r="F31" s="8">
        <f>D31*E31</f>
        <v/>
      </c>
      <c r="G31" s="6" t="inlineStr">
        <is>
          <t>🟢 MÍNIMO</t>
        </is>
      </c>
    </row>
    <row r="32" ht="22" customHeight="1">
      <c r="A32" s="10" t="n">
        <v>24</v>
      </c>
      <c r="B32" s="11" t="inlineStr">
        <is>
          <t>Impresora de recibos</t>
        </is>
      </c>
      <c r="C32" s="11" t="inlineStr">
        <is>
          <t>Térmica, para recibos de clientes</t>
        </is>
      </c>
      <c r="D32" s="10" t="n">
        <v>1</v>
      </c>
      <c r="E32" s="12" t="n">
        <v>80</v>
      </c>
      <c r="F32" s="12">
        <f>D32*E32</f>
        <v/>
      </c>
      <c r="G32" s="10" t="inlineStr">
        <is>
          <t>🟡 PRONTO</t>
        </is>
      </c>
    </row>
    <row r="33" ht="22" customHeight="1">
      <c r="A33" s="6" t="n">
        <v>25</v>
      </c>
      <c r="B33" s="7" t="inlineStr">
        <is>
          <t>Caja registradora/caja de efectivo</t>
        </is>
      </c>
      <c r="C33" s="7" t="inlineStr">
        <is>
          <t>Para guardar efectivo con llave</t>
        </is>
      </c>
      <c r="D33" s="6" t="n">
        <v>1</v>
      </c>
      <c r="E33" s="8" t="n">
        <v>35</v>
      </c>
      <c r="F33" s="8">
        <f>D33*E33</f>
        <v/>
      </c>
      <c r="G33" s="6" t="inlineStr">
        <is>
          <t>🟢 MÍNIMO</t>
        </is>
      </c>
    </row>
    <row r="34" ht="25" customHeight="1">
      <c r="A34" s="14" t="inlineStr">
        <is>
          <t>🖥️ EQUIPOS ADMINISTRATIVOS Y OFICINA</t>
        </is>
      </c>
    </row>
    <row r="35" ht="22" customHeight="1">
      <c r="A35" s="6" t="n">
        <v>26</v>
      </c>
      <c r="B35" s="7" t="inlineStr">
        <is>
          <t>Router WiFi profesional</t>
        </is>
      </c>
      <c r="C35" s="7" t="inlineStr">
        <is>
          <t>Conexión estable para POS y software</t>
        </is>
      </c>
      <c r="D35" s="6" t="n">
        <v>1</v>
      </c>
      <c r="E35" s="8" t="n">
        <v>80</v>
      </c>
      <c r="F35" s="8">
        <f>D35*E35</f>
        <v/>
      </c>
      <c r="G35" s="6" t="inlineStr">
        <is>
          <t>🟢 MÍNIMO</t>
        </is>
      </c>
    </row>
    <row r="36" ht="22" customHeight="1">
      <c r="A36" s="6" t="n">
        <v>27</v>
      </c>
      <c r="B36" s="7" t="inlineStr">
        <is>
          <t>Laptop o computadora</t>
        </is>
      </c>
      <c r="C36" s="7" t="inlineStr">
        <is>
          <t>Para administración, contabilidad, redes</t>
        </is>
      </c>
      <c r="D36" s="6" t="n">
        <v>1</v>
      </c>
      <c r="E36" s="8" t="n">
        <v>500</v>
      </c>
      <c r="F36" s="8">
        <f>D36*E36</f>
        <v/>
      </c>
      <c r="G36" s="6" t="inlineStr">
        <is>
          <t>🟢 MÍNIMO</t>
        </is>
      </c>
    </row>
    <row r="37" ht="22" customHeight="1">
      <c r="A37" s="10" t="n">
        <v>28</v>
      </c>
      <c r="B37" s="11" t="inlineStr">
        <is>
          <t>Impresora multifuncional</t>
        </is>
      </c>
      <c r="C37" s="11" t="inlineStr">
        <is>
          <t>Para documentos, contratos, formularios</t>
        </is>
      </c>
      <c r="D37" s="10" t="n">
        <v>1</v>
      </c>
      <c r="E37" s="12" t="n">
        <v>120</v>
      </c>
      <c r="F37" s="12">
        <f>D37*E37</f>
        <v/>
      </c>
      <c r="G37" s="10" t="inlineStr">
        <is>
          <t>🟡 PRONTO</t>
        </is>
      </c>
    </row>
    <row r="38" ht="22" customHeight="1">
      <c r="A38" s="6" t="n">
        <v>29</v>
      </c>
      <c r="B38" s="7" t="inlineStr">
        <is>
          <t>Teléfono dedicado al negocio</t>
        </is>
      </c>
      <c r="C38" s="7" t="inlineStr">
        <is>
          <t>Para citas y atención al cliente</t>
        </is>
      </c>
      <c r="D38" s="6" t="n">
        <v>1</v>
      </c>
      <c r="E38" s="8" t="n">
        <v>200</v>
      </c>
      <c r="F38" s="8">
        <f>D38*E38</f>
        <v/>
      </c>
      <c r="G38" s="6" t="inlineStr">
        <is>
          <t>🟢 MÍNIMO</t>
        </is>
      </c>
    </row>
    <row r="39" ht="22" customHeight="1">
      <c r="A39" s="10" t="n">
        <v>30</v>
      </c>
      <c r="B39" s="11" t="inlineStr">
        <is>
          <t>Escritorio pequeño</t>
        </is>
      </c>
      <c r="C39" s="11" t="inlineStr">
        <is>
          <t>Para área administrativa</t>
        </is>
      </c>
      <c r="D39" s="10" t="n">
        <v>1</v>
      </c>
      <c r="E39" s="12" t="n">
        <v>150</v>
      </c>
      <c r="F39" s="12">
        <f>D39*E39</f>
        <v/>
      </c>
      <c r="G39" s="10" t="inlineStr">
        <is>
          <t>🟡 PRONTO</t>
        </is>
      </c>
    </row>
    <row r="40" ht="22" customHeight="1">
      <c r="A40" s="10" t="n">
        <v>31</v>
      </c>
      <c r="B40" s="11" t="inlineStr">
        <is>
          <t>Silla de oficina</t>
        </is>
      </c>
      <c r="C40" s="11" t="inlineStr">
        <is>
          <t>Para área de trabajo administrativo</t>
        </is>
      </c>
      <c r="D40" s="10" t="n">
        <v>1</v>
      </c>
      <c r="E40" s="12" t="n">
        <v>80</v>
      </c>
      <c r="F40" s="12">
        <f>D40*E40</f>
        <v/>
      </c>
      <c r="G40" s="10" t="inlineStr">
        <is>
          <t>🟡 PRONTO</t>
        </is>
      </c>
    </row>
    <row r="41" ht="25" customHeight="1">
      <c r="A41" s="15" t="inlineStr">
        <is>
          <t>🏠 MOBILIARIO Y DECORACIÓN DEL LOCAL</t>
        </is>
      </c>
    </row>
    <row r="42" ht="22" customHeight="1">
      <c r="A42" s="6" t="n">
        <v>32</v>
      </c>
      <c r="B42" s="7" t="inlineStr">
        <is>
          <t>Mostrador/recepción</t>
        </is>
      </c>
      <c r="C42" s="7" t="inlineStr">
        <is>
          <t>Para recibir clientes y cobrar</t>
        </is>
      </c>
      <c r="D42" s="6" t="n">
        <v>1</v>
      </c>
      <c r="E42" s="8" t="n">
        <v>400</v>
      </c>
      <c r="F42" s="8">
        <f>D42*E42</f>
        <v/>
      </c>
      <c r="G42" s="6" t="inlineStr">
        <is>
          <t>🟢 MÍNIMO</t>
        </is>
      </c>
    </row>
    <row r="43" ht="22" customHeight="1">
      <c r="A43" s="6" t="n">
        <v>33</v>
      </c>
      <c r="B43" s="7" t="inlineStr">
        <is>
          <t>Sillas para sala de espera</t>
        </is>
      </c>
      <c r="C43" s="7" t="inlineStr">
        <is>
          <t>2-3 sillas cómodas para clientes</t>
        </is>
      </c>
      <c r="D43" s="6" t="n">
        <v>3</v>
      </c>
      <c r="E43" s="8" t="n">
        <v>60</v>
      </c>
      <c r="F43" s="8">
        <f>D43*E43</f>
        <v/>
      </c>
      <c r="G43" s="6" t="inlineStr">
        <is>
          <t>🟢 MÍNIMO</t>
        </is>
      </c>
    </row>
    <row r="44" ht="22" customHeight="1">
      <c r="A44" s="10" t="n">
        <v>34</v>
      </c>
      <c r="B44" s="11" t="inlineStr">
        <is>
          <t>Estantería para productos</t>
        </is>
      </c>
      <c r="C44" s="11" t="inlineStr">
        <is>
          <t>Para exhibir y vender productos/merch</t>
        </is>
      </c>
      <c r="D44" s="10" t="n">
        <v>1</v>
      </c>
      <c r="E44" s="12" t="n">
        <v>120</v>
      </c>
      <c r="F44" s="12">
        <f>D44*E44</f>
        <v/>
      </c>
      <c r="G44" s="10" t="inlineStr">
        <is>
          <t>🟡 PRONTO</t>
        </is>
      </c>
    </row>
    <row r="45" ht="22" customHeight="1">
      <c r="A45" s="6" t="n">
        <v>35</v>
      </c>
      <c r="B45" s="7" t="inlineStr">
        <is>
          <t>Letrero exterior del local</t>
        </is>
      </c>
      <c r="C45" s="7" t="inlineStr">
        <is>
          <t>Con logo Jo's Groom Room iluminado</t>
        </is>
      </c>
      <c r="D45" s="6" t="n">
        <v>1</v>
      </c>
      <c r="E45" s="8" t="n">
        <v>500</v>
      </c>
      <c r="F45" s="8">
        <f>D45*E45</f>
        <v/>
      </c>
      <c r="G45" s="6" t="inlineStr">
        <is>
          <t>🟢 MÍNIMO</t>
        </is>
      </c>
    </row>
    <row r="46" ht="22" customHeight="1">
      <c r="A46" s="10" t="n">
        <v>36</v>
      </c>
      <c r="B46" s="11" t="inlineStr">
        <is>
          <t>Letrero interior/pared</t>
        </is>
      </c>
      <c r="C46" s="11" t="inlineStr">
        <is>
          <t>Decoración con nombre del salón</t>
        </is>
      </c>
      <c r="D46" s="10" t="n">
        <v>1</v>
      </c>
      <c r="E46" s="12" t="n">
        <v>200</v>
      </c>
      <c r="F46" s="12">
        <f>D46*E46</f>
        <v/>
      </c>
      <c r="G46" s="10" t="inlineStr">
        <is>
          <t>🟡 PRONTO</t>
        </is>
      </c>
    </row>
    <row r="47" ht="22" customHeight="1">
      <c r="A47" s="10" t="n">
        <v>37</v>
      </c>
      <c r="B47" s="11" t="inlineStr">
        <is>
          <t>Espejo grande</t>
        </is>
      </c>
      <c r="C47" s="11" t="inlineStr">
        <is>
          <t>Para área de grooming</t>
        </is>
      </c>
      <c r="D47" s="10" t="n">
        <v>1</v>
      </c>
      <c r="E47" s="12" t="n">
        <v>150</v>
      </c>
      <c r="F47" s="12">
        <f>D47*E47</f>
        <v/>
      </c>
      <c r="G47" s="10" t="inlineStr">
        <is>
          <t>🟡 PRONTO</t>
        </is>
      </c>
    </row>
    <row r="48" ht="22" customHeight="1">
      <c r="A48" s="16" t="n">
        <v>38</v>
      </c>
      <c r="B48" s="17" t="inlineStr">
        <is>
          <t>Cuadros/decoración temática</t>
        </is>
      </c>
      <c r="C48" s="17" t="inlineStr">
        <is>
          <t>Perros, patas, estilo del salón</t>
        </is>
      </c>
      <c r="D48" s="16" t="n">
        <v>1</v>
      </c>
      <c r="E48" s="18" t="n">
        <v>100</v>
      </c>
      <c r="F48" s="18">
        <f>D48*E48</f>
        <v/>
      </c>
      <c r="G48" s="16" t="inlineStr">
        <is>
          <t>🔴 ESPERAR</t>
        </is>
      </c>
    </row>
    <row r="49" ht="22" customHeight="1">
      <c r="A49" s="6" t="n">
        <v>39</v>
      </c>
      <c r="B49" s="7" t="inlineStr">
        <is>
          <t>Tapete antifatiga</t>
        </is>
      </c>
      <c r="C49" s="7" t="inlineStr">
        <is>
          <t>Para área de trabajo de Johanna</t>
        </is>
      </c>
      <c r="D49" s="6" t="n">
        <v>2</v>
      </c>
      <c r="E49" s="8" t="n">
        <v>40</v>
      </c>
      <c r="F49" s="8">
        <f>D49*E49</f>
        <v/>
      </c>
      <c r="G49" s="6" t="inlineStr">
        <is>
          <t>🟢 MÍNIMO</t>
        </is>
      </c>
    </row>
    <row r="50" ht="22" customHeight="1">
      <c r="A50" s="10" t="n">
        <v>40</v>
      </c>
      <c r="B50" s="11" t="inlineStr">
        <is>
          <t>Cortinas o separadores</t>
        </is>
      </c>
      <c r="C50" s="11" t="inlineStr">
        <is>
          <t>Para dividir área de grooming y espera</t>
        </is>
      </c>
      <c r="D50" s="10" t="n">
        <v>1</v>
      </c>
      <c r="E50" s="12" t="n">
        <v>80</v>
      </c>
      <c r="F50" s="12">
        <f>D50*E50</f>
        <v/>
      </c>
      <c r="G50" s="10" t="inlineStr">
        <is>
          <t>🟡 PRONTO</t>
        </is>
      </c>
    </row>
    <row r="51" ht="25" customHeight="1">
      <c r="A51" s="19" t="inlineStr">
        <is>
          <t>🔒 SEGURIDAD E INSTALACIONES</t>
        </is>
      </c>
    </row>
    <row r="52" ht="22" customHeight="1">
      <c r="A52" s="6" t="n">
        <v>41</v>
      </c>
      <c r="B52" s="7" t="inlineStr">
        <is>
          <t>Cámara de seguridad set</t>
        </is>
      </c>
      <c r="C52" s="7" t="inlineStr">
        <is>
          <t>2-4 cámaras con grabación y acceso remoto</t>
        </is>
      </c>
      <c r="D52" s="6" t="n">
        <v>1</v>
      </c>
      <c r="E52" s="8" t="n">
        <v>200</v>
      </c>
      <c r="F52" s="8">
        <f>D52*E52</f>
        <v/>
      </c>
      <c r="G52" s="6" t="inlineStr">
        <is>
          <t>🟢 MÍNIMO</t>
        </is>
      </c>
    </row>
    <row r="53" ht="22" customHeight="1">
      <c r="A53" s="6" t="n">
        <v>42</v>
      </c>
      <c r="B53" s="7" t="inlineStr">
        <is>
          <t>Botiquín de primeros auxilios</t>
        </is>
      </c>
      <c r="C53" s="7" t="inlineStr">
        <is>
          <t>Para perros y humanos</t>
        </is>
      </c>
      <c r="D53" s="6" t="n">
        <v>1</v>
      </c>
      <c r="E53" s="8" t="n">
        <v>50</v>
      </c>
      <c r="F53" s="8">
        <f>D53*E53</f>
        <v/>
      </c>
      <c r="G53" s="6" t="inlineStr">
        <is>
          <t>🟢 MÍNIMO</t>
        </is>
      </c>
    </row>
    <row r="54" ht="22" customHeight="1">
      <c r="A54" s="6" t="n">
        <v>43</v>
      </c>
      <c r="B54" s="7" t="inlineStr">
        <is>
          <t>Extinguidor de incendios</t>
        </is>
      </c>
      <c r="C54" s="7" t="inlineStr">
        <is>
          <t>Requerido por ley en locales comerciales</t>
        </is>
      </c>
      <c r="D54" s="6" t="n">
        <v>1</v>
      </c>
      <c r="E54" s="8" t="n">
        <v>60</v>
      </c>
      <c r="F54" s="8">
        <f>D54*E54</f>
        <v/>
      </c>
      <c r="G54" s="6" t="inlineStr">
        <is>
          <t>🟢 MÍNIMO</t>
        </is>
      </c>
    </row>
    <row r="55" ht="22" customHeight="1">
      <c r="A55" s="6" t="n">
        <v>44</v>
      </c>
      <c r="B55" s="7" t="inlineStr">
        <is>
          <t>Seguro para puerta trasera</t>
        </is>
      </c>
      <c r="C55" s="7" t="inlineStr">
        <is>
          <t>Seguridad adicional del local</t>
        </is>
      </c>
      <c r="D55" s="6" t="n">
        <v>1</v>
      </c>
      <c r="E55" s="8" t="n">
        <v>40</v>
      </c>
      <c r="F55" s="8">
        <f>D55*E55</f>
        <v/>
      </c>
      <c r="G55" s="6" t="inlineStr">
        <is>
          <t>🟢 MÍNIMO</t>
        </is>
      </c>
    </row>
    <row r="56" ht="25" customHeight="1">
      <c r="A56" s="20" t="inlineStr">
        <is>
          <t>📱 SOFTWARE Y SUSCRIPCIONES (MENSUAL)</t>
        </is>
      </c>
    </row>
    <row r="57" ht="22" customHeight="1">
      <c r="A57" s="6" t="n">
        <v>45</v>
      </c>
      <c r="B57" s="7" t="inlineStr">
        <is>
          <t>Moego (software grooming)</t>
        </is>
      </c>
      <c r="C57" s="7" t="inlineStr">
        <is>
          <t>Gestión de citas, clientes, pagos</t>
        </is>
      </c>
      <c r="D57" s="6" t="n">
        <v>1</v>
      </c>
      <c r="E57" s="8" t="n">
        <v>89</v>
      </c>
      <c r="F57" s="8">
        <f>D57*E57</f>
        <v/>
      </c>
      <c r="G57" s="6" t="inlineStr">
        <is>
          <t>🟢 MÍNIMO</t>
        </is>
      </c>
    </row>
    <row r="58" ht="22" customHeight="1">
      <c r="A58" s="6" t="n">
        <v>46</v>
      </c>
      <c r="B58" s="7" t="inlineStr">
        <is>
          <t>QuickBooks Simple Start</t>
        </is>
      </c>
      <c r="C58" s="7" t="inlineStr">
        <is>
          <t>Contabilidad y taxes</t>
        </is>
      </c>
      <c r="D58" s="6" t="n">
        <v>1</v>
      </c>
      <c r="E58" s="8" t="n">
        <v>30</v>
      </c>
      <c r="F58" s="8">
        <f>D58*E58</f>
        <v/>
      </c>
      <c r="G58" s="6" t="inlineStr">
        <is>
          <t>🟢 MÍNIMO</t>
        </is>
      </c>
    </row>
    <row r="59" ht="22" customHeight="1">
      <c r="A59" s="6" t="n">
        <v>47</v>
      </c>
      <c r="B59" s="7" t="inlineStr">
        <is>
          <t>Google Workspace</t>
        </is>
      </c>
      <c r="C59" s="7" t="inlineStr">
        <is>
          <t>Email profesional johanna@josgroomroom.com</t>
        </is>
      </c>
      <c r="D59" s="6" t="n">
        <v>1</v>
      </c>
      <c r="E59" s="8" t="n">
        <v>12</v>
      </c>
      <c r="F59" s="8">
        <f>D59*E59</f>
        <v/>
      </c>
      <c r="G59" s="6" t="inlineStr">
        <is>
          <t>🟢 MÍNIMO</t>
        </is>
      </c>
    </row>
    <row r="60" ht="22" customHeight="1">
      <c r="A60" s="10" t="n">
        <v>48</v>
      </c>
      <c r="B60" s="11" t="inlineStr">
        <is>
          <t>Canva Pro (marketing)</t>
        </is>
      </c>
      <c r="C60" s="11" t="inlineStr">
        <is>
          <t>Para crear contenido de redes sociales</t>
        </is>
      </c>
      <c r="D60" s="10" t="n">
        <v>1</v>
      </c>
      <c r="E60" s="12" t="n">
        <v>15</v>
      </c>
      <c r="F60" s="12">
        <f>D60*E60</f>
        <v/>
      </c>
      <c r="G60" s="10" t="inlineStr">
        <is>
          <t>🟡 PRONTO</t>
        </is>
      </c>
    </row>
    <row r="61" ht="25" customHeight="1">
      <c r="A61" s="13" t="inlineStr">
        <is>
          <t>🎨 BRANDING Y MARKETING INICIAL</t>
        </is>
      </c>
    </row>
    <row r="62" ht="22" customHeight="1">
      <c r="A62" s="6" t="n">
        <v>49</v>
      </c>
      <c r="B62" s="7" t="inlineStr">
        <is>
          <t>Diseño de logo profesional</t>
        </is>
      </c>
      <c r="C62" s="7" t="inlineStr">
        <is>
          <t>Agencia latinoamericana (Workana/Fiverr)</t>
        </is>
      </c>
      <c r="D62" s="6" t="n">
        <v>1</v>
      </c>
      <c r="E62" s="8" t="n">
        <v>300</v>
      </c>
      <c r="F62" s="8">
        <f>D62*E62</f>
        <v/>
      </c>
      <c r="G62" s="6" t="inlineStr">
        <is>
          <t>🟢 MÍNIMO</t>
        </is>
      </c>
    </row>
    <row r="63" ht="22" customHeight="1">
      <c r="A63" s="6" t="n">
        <v>50</v>
      </c>
      <c r="B63" s="7" t="inlineStr">
        <is>
          <t>Dominio josgroomroom.com (anual)</t>
        </is>
      </c>
      <c r="C63" s="7" t="inlineStr">
        <is>
          <t>Registro del dominio web</t>
        </is>
      </c>
      <c r="D63" s="6" t="n">
        <v>1</v>
      </c>
      <c r="E63" s="8" t="n">
        <v>15</v>
      </c>
      <c r="F63" s="8">
        <f>D63*E63</f>
        <v/>
      </c>
      <c r="G63" s="6" t="inlineStr">
        <is>
          <t>🟢 MÍNIMO</t>
        </is>
      </c>
    </row>
    <row r="64" ht="22" customHeight="1">
      <c r="A64" s="6" t="n">
        <v>51</v>
      </c>
      <c r="B64" s="7" t="inlineStr">
        <is>
          <t>Tarjetas de presentación (500)</t>
        </is>
      </c>
      <c r="C64" s="7" t="inlineStr">
        <is>
          <t>Con logo y info del negocio</t>
        </is>
      </c>
      <c r="D64" s="6" t="n">
        <v>500</v>
      </c>
      <c r="E64" s="8" t="n">
        <v>0.1</v>
      </c>
      <c r="F64" s="8">
        <f>D64*E64</f>
        <v/>
      </c>
      <c r="G64" s="6" t="inlineStr">
        <is>
          <t>🟢 MÍNIMO</t>
        </is>
      </c>
    </row>
    <row r="65" ht="22" customHeight="1">
      <c r="A65" s="6" t="n">
        <v>52</v>
      </c>
      <c r="B65" s="7" t="inlineStr">
        <is>
          <t>Flyers de apertura (200)</t>
        </is>
      </c>
      <c r="C65" s="7" t="inlineStr">
        <is>
          <t>Para distribuir en el área</t>
        </is>
      </c>
      <c r="D65" s="6" t="n">
        <v>200</v>
      </c>
      <c r="E65" s="8" t="n">
        <v>0.15</v>
      </c>
      <c r="F65" s="8">
        <f>D65*E65</f>
        <v/>
      </c>
      <c r="G65" s="6" t="inlineStr">
        <is>
          <t>🟢 MÍNIMO</t>
        </is>
      </c>
    </row>
    <row r="66" ht="22" customHeight="1">
      <c r="A66" s="10" t="n">
        <v>53</v>
      </c>
      <c r="B66" s="11" t="inlineStr">
        <is>
          <t>Uniforme/camisetas con logo</t>
        </is>
      </c>
      <c r="C66" s="11" t="inlineStr">
        <is>
          <t>Para Johanna y futuras empleadas</t>
        </is>
      </c>
      <c r="D66" s="10" t="n">
        <v>5</v>
      </c>
      <c r="E66" s="12" t="n">
        <v>25</v>
      </c>
      <c r="F66" s="12">
        <f>D66*E66</f>
        <v/>
      </c>
      <c r="G66" s="10" t="inlineStr">
        <is>
          <t>🟡 PRONTO</t>
        </is>
      </c>
    </row>
    <row r="67" ht="22" customHeight="1">
      <c r="A67" s="6" t="n">
        <v>54</v>
      </c>
      <c r="B67" s="7" t="inlineStr">
        <is>
          <t>Delantales profesionales con logo</t>
        </is>
      </c>
      <c r="C67" s="7" t="inlineStr">
        <is>
          <t>Para grooming</t>
        </is>
      </c>
      <c r="D67" s="6" t="n">
        <v>3</v>
      </c>
      <c r="E67" s="8" t="n">
        <v>30</v>
      </c>
      <c r="F67" s="8">
        <f>D67*E67</f>
        <v/>
      </c>
      <c r="G67" s="6" t="inlineStr">
        <is>
          <t>🟢 MÍNIMO</t>
        </is>
      </c>
    </row>
    <row r="68" ht="25" customHeight="1">
      <c r="A68" s="21" t="inlineStr">
        <is>
          <t>⚖️ LEGAL Y ADMINISTRATIVO (ONE-TIME)</t>
        </is>
      </c>
    </row>
    <row r="69" ht="22" customHeight="1">
      <c r="A69" s="6" t="n">
        <v>55</v>
      </c>
      <c r="B69" s="7" t="inlineStr">
        <is>
          <t>DBA 'Jo's Groom Room' (NY DOS)</t>
        </is>
      </c>
      <c r="C69" s="7" t="inlineStr">
        <is>
          <t>Registro nombre comercial con apóstrofe</t>
        </is>
      </c>
      <c r="D69" s="6" t="n">
        <v>1</v>
      </c>
      <c r="E69" s="8" t="n">
        <v>25</v>
      </c>
      <c r="F69" s="8">
        <f>D69*E69</f>
        <v/>
      </c>
      <c r="G69" s="6" t="inlineStr">
        <is>
          <t>🟢 MÍNIMO</t>
        </is>
      </c>
    </row>
    <row r="70" ht="22" customHeight="1">
      <c r="A70" s="6" t="n">
        <v>56</v>
      </c>
      <c r="B70" s="7" t="inlineStr">
        <is>
          <t>Publication requirement periódicos</t>
        </is>
      </c>
      <c r="C70" s="7" t="inlineStr">
        <is>
          <t>Obligatorio en Westchester County</t>
        </is>
      </c>
      <c r="D70" s="6" t="n">
        <v>1</v>
      </c>
      <c r="E70" s="8" t="n">
        <v>385</v>
      </c>
      <c r="F70" s="8">
        <f>D70*E70</f>
        <v/>
      </c>
      <c r="G70" s="6" t="inlineStr">
        <is>
          <t>🟢 MÍNIMO</t>
        </is>
      </c>
    </row>
    <row r="71" ht="22" customHeight="1">
      <c r="A71" s="6" t="n">
        <v>57</v>
      </c>
      <c r="B71" s="7" t="inlineStr">
        <is>
          <t>Licencia de negocio Peekskill</t>
        </is>
      </c>
      <c r="C71" s="7" t="inlineStr">
        <is>
          <t>Permiso municipal para operar</t>
        </is>
      </c>
      <c r="D71" s="6" t="n">
        <v>1</v>
      </c>
      <c r="E71" s="8" t="n">
        <v>100</v>
      </c>
      <c r="F71" s="8">
        <f>D71*E71</f>
        <v/>
      </c>
      <c r="G71" s="6" t="inlineStr">
        <is>
          <t>🟢 MÍNIMO</t>
        </is>
      </c>
    </row>
    <row r="72" ht="22" customHeight="1">
      <c r="A72" s="6" t="n">
        <v>58</v>
      </c>
      <c r="B72" s="7" t="inlineStr">
        <is>
          <t>Business insurance (anual)</t>
        </is>
      </c>
      <c r="C72" s="7" t="inlineStr">
        <is>
          <t>General liability para el salón</t>
        </is>
      </c>
      <c r="D72" s="6" t="n">
        <v>1</v>
      </c>
      <c r="E72" s="8" t="n">
        <v>1200</v>
      </c>
      <c r="F72" s="8">
        <f>D72*E72</f>
        <v/>
      </c>
      <c r="G72" s="6" t="inlineStr">
        <is>
          <t>🟢 MÍNIMO</t>
        </is>
      </c>
    </row>
    <row r="73" ht="22" customHeight="1">
      <c r="A73" s="6" t="n">
        <v>59</v>
      </c>
      <c r="B73" s="7" t="inlineStr">
        <is>
          <t>Certificado de salud/sanidad</t>
        </is>
      </c>
      <c r="C73" s="7" t="inlineStr">
        <is>
          <t>Health permit para manejo de animales</t>
        </is>
      </c>
      <c r="D73" s="6" t="n">
        <v>1</v>
      </c>
      <c r="E73" s="8" t="n">
        <v>75</v>
      </c>
      <c r="F73" s="8">
        <f>D73*E73</f>
        <v/>
      </c>
      <c r="G73" s="6" t="inlineStr">
        <is>
          <t>🟢 MÍNIMO</t>
        </is>
      </c>
    </row>
    <row r="74" ht="15" customHeight="1"/>
    <row r="75" ht="30" customHeight="1">
      <c r="A75" s="22" t="inlineStr">
        <is>
          <t>📊 RESUMEN FINANCIERO</t>
        </is>
      </c>
    </row>
    <row r="76" ht="25" customHeight="1">
      <c r="A76" s="23" t="inlineStr">
        <is>
          <t>🟢 TOTAL MÍNIMO PARA ABRIR</t>
        </is>
      </c>
      <c r="F76" s="24">
        <f>SUMIF(G6:G71,"*MÍNIMO*",F6:F71)</f>
        <v/>
      </c>
    </row>
    <row r="77" ht="25" customHeight="1">
      <c r="A77" s="25" t="inlineStr">
        <is>
          <t>🟡 TOTAL IMPORTANTE PRONTO</t>
        </is>
      </c>
      <c r="F77" s="26">
        <f>SUMIF(G6:G72,"*PRONTO*",F6:F72)</f>
        <v/>
      </c>
    </row>
    <row r="78" ht="25" customHeight="1">
      <c r="A78" s="27" t="inlineStr">
        <is>
          <t>🔴 TOTAL PUEDE ESPERAR</t>
        </is>
      </c>
      <c r="F78" s="28">
        <f>SUMIF(G6:G73,"*ESPERAR*",F6:F73)</f>
        <v/>
      </c>
    </row>
    <row r="79" ht="25" customHeight="1">
      <c r="A79" s="29" t="inlineStr">
        <is>
          <t>💰 INVERSIÓN TOTAL COMPLETA</t>
        </is>
      </c>
      <c r="F79" s="30">
        <f>SUM(F6:F74)</f>
        <v/>
      </c>
    </row>
    <row r="81" ht="25" customHeight="1">
      <c r="A81" s="31" t="inlineStr">
        <is>
          <t>📝 NOTAS IMPORTANTES</t>
        </is>
      </c>
    </row>
    <row r="82" ht="18" customHeight="1">
      <c r="A82" s="32" t="inlineStr">
        <is>
          <t>• Los precios son estimados basados en el mercado de NY/Amazon 2026. Pueden variar.</t>
        </is>
      </c>
    </row>
    <row r="83" ht="18" customHeight="1">
      <c r="A83" s="32" t="inlineStr">
        <is>
          <t>• Software (fila 45-48): Los precios son MENSUALES, no incluidos en el total de inversión inicial.</t>
        </is>
      </c>
    </row>
    <row r="84" ht="18" customHeight="1">
      <c r="A84" s="32" t="inlineStr">
        <is>
          <t>• El letrero exterior puede ser más costoso dependiendo del diseño — cotizar con proveedor local.</t>
        </is>
      </c>
    </row>
    <row r="85" ht="18" customHeight="1">
      <c r="A85" s="32" t="inlineStr">
        <is>
          <t>• Priorizar los items MÍNIMOS para abrir. Los demás pueden comprarse con los primeros ingresos.</t>
        </is>
      </c>
    </row>
    <row r="86" ht="18" customHeight="1">
      <c r="A86" s="32" t="inlineStr">
        <is>
          <t>• Comprar equipos en: Amazon, Chewy Pro, Ryan's Pet Supplies, o ferias de grooming.</t>
        </is>
      </c>
    </row>
  </sheetData>
  <mergeCells count="27">
    <mergeCell ref="A77:E77"/>
    <mergeCell ref="F78:G78"/>
    <mergeCell ref="A4:G4"/>
    <mergeCell ref="A81:G81"/>
    <mergeCell ref="A68:G68"/>
    <mergeCell ref="A19:G19"/>
    <mergeCell ref="A79:E79"/>
    <mergeCell ref="A28:G28"/>
    <mergeCell ref="A78:E78"/>
    <mergeCell ref="A34:G34"/>
    <mergeCell ref="A83:G83"/>
    <mergeCell ref="F76:G76"/>
    <mergeCell ref="A82:G82"/>
    <mergeCell ref="F79:G79"/>
    <mergeCell ref="A51:G51"/>
    <mergeCell ref="A61:G61"/>
    <mergeCell ref="A1:G1"/>
    <mergeCell ref="A6:G6"/>
    <mergeCell ref="A76:E76"/>
    <mergeCell ref="A41:G41"/>
    <mergeCell ref="A75:G75"/>
    <mergeCell ref="A84:G84"/>
    <mergeCell ref="F77:G77"/>
    <mergeCell ref="A56:G56"/>
    <mergeCell ref="A2:G2"/>
    <mergeCell ref="A86:G86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2026-05-10T20:54:07Z</dcterms:created>
  <dcterms:modified xmlns:dcterms="http://purl.org/dc/terms/" xmlns:xsi="http://www.w3.org/2001/XMLSchema-instance" xsi:type="dcterms:W3CDTF">2026-05-10T20:54:07Z</dcterms:modified>
</cp:coreProperties>
</file>